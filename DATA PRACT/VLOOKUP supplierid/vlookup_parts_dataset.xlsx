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ffic\Desktop\DATA PRACT\New folder\"/>
    </mc:Choice>
  </mc:AlternateContent>
  <xr:revisionPtr revIDLastSave="0" documentId="13_ncr:1_{9E867DFA-CDCF-4F3B-B9E0-850A0089E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E23" i="1"/>
  <c r="C23" i="1"/>
  <c r="B23" i="1"/>
</calcChain>
</file>

<file path=xl/sharedStrings.xml><?xml version="1.0" encoding="utf-8"?>
<sst xmlns="http://schemas.openxmlformats.org/spreadsheetml/2006/main" count="85" uniqueCount="68">
  <si>
    <t>Supplier ID</t>
  </si>
  <si>
    <t>Part Number</t>
  </si>
  <si>
    <t>Part Name</t>
  </si>
  <si>
    <t>Part Price</t>
  </si>
  <si>
    <t>Status</t>
  </si>
  <si>
    <t>SP301</t>
  </si>
  <si>
    <t>A001</t>
  </si>
  <si>
    <t>water</t>
  </si>
  <si>
    <t>In</t>
  </si>
  <si>
    <t>SP302</t>
  </si>
  <si>
    <t>A002</t>
  </si>
  <si>
    <t>alternator</t>
  </si>
  <si>
    <t>SP303</t>
  </si>
  <si>
    <t>A003</t>
  </si>
  <si>
    <t>air filter</t>
  </si>
  <si>
    <t>SP304</t>
  </si>
  <si>
    <t>A004</t>
  </si>
  <si>
    <t>bearing</t>
  </si>
  <si>
    <t>In stock</t>
  </si>
  <si>
    <t>SP305</t>
  </si>
  <si>
    <t>A005</t>
  </si>
  <si>
    <t>muffler</t>
  </si>
  <si>
    <t>SP306</t>
  </si>
  <si>
    <t>A006</t>
  </si>
  <si>
    <t>oil pan</t>
  </si>
  <si>
    <t>Out of stock</t>
  </si>
  <si>
    <t>SP307</t>
  </si>
  <si>
    <t>A007</t>
  </si>
  <si>
    <t>brake pads</t>
  </si>
  <si>
    <t>SP308</t>
  </si>
  <si>
    <t>A008</t>
  </si>
  <si>
    <t>rotors</t>
  </si>
  <si>
    <t>SP309</t>
  </si>
  <si>
    <t>A009</t>
  </si>
  <si>
    <t>headlight</t>
  </si>
  <si>
    <t>SP310</t>
  </si>
  <si>
    <t>A010</t>
  </si>
  <si>
    <t>brake</t>
  </si>
  <si>
    <t>SP311</t>
  </si>
  <si>
    <t>A011</t>
  </si>
  <si>
    <t>strut</t>
  </si>
  <si>
    <t>SP312</t>
  </si>
  <si>
    <t>A012</t>
  </si>
  <si>
    <t>CV Boot</t>
  </si>
  <si>
    <t>SP313</t>
  </si>
  <si>
    <t>A013</t>
  </si>
  <si>
    <t>kit</t>
  </si>
  <si>
    <t>SP314</t>
  </si>
  <si>
    <t>A014</t>
  </si>
  <si>
    <t>oil pump</t>
  </si>
  <si>
    <t>SP315</t>
  </si>
  <si>
    <t>A015</t>
  </si>
  <si>
    <t>oil filter</t>
  </si>
  <si>
    <t>SP316</t>
  </si>
  <si>
    <t>A016</t>
  </si>
  <si>
    <t>fuel filter</t>
  </si>
  <si>
    <t>SP317</t>
  </si>
  <si>
    <t>A017</t>
  </si>
  <si>
    <t>tie rod end</t>
  </si>
  <si>
    <t>SP318</t>
  </si>
  <si>
    <t>A018</t>
  </si>
  <si>
    <t>ball joint</t>
  </si>
  <si>
    <t>SP319</t>
  </si>
  <si>
    <t>A019</t>
  </si>
  <si>
    <t>steering rack</t>
  </si>
  <si>
    <t>SP320</t>
  </si>
  <si>
    <t>A020</t>
  </si>
  <si>
    <t>piston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</si>
</sst>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4" sqref="A24"/>
    </sheetView>
  </sheetViews>
  <sheetFormatPr defaultRowHeight="14.4" x14ac:dyDescent="0.3"/>
  <cols>
    <col min="1" max="1" width="9.6640625" bestFit="1" customWidth="1"/>
    <col min="2" max="3" width="11.33203125" bestFit="1" customWidth="1"/>
    <col min="4" max="4" width="8.777343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6800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3800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4500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3552</v>
      </c>
      <c r="E5" t="s">
        <v>18</v>
      </c>
    </row>
    <row r="6" spans="1:5" x14ac:dyDescent="0.3">
      <c r="A6" t="s">
        <v>19</v>
      </c>
      <c r="B6" t="s">
        <v>20</v>
      </c>
      <c r="C6" t="s">
        <v>21</v>
      </c>
      <c r="D6">
        <v>1600</v>
      </c>
      <c r="E6" t="s">
        <v>8</v>
      </c>
    </row>
    <row r="7" spans="1:5" x14ac:dyDescent="0.3">
      <c r="A7" t="s">
        <v>22</v>
      </c>
      <c r="B7" t="s">
        <v>23</v>
      </c>
      <c r="C7" t="s">
        <v>24</v>
      </c>
      <c r="D7">
        <v>1005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>
        <v>6500</v>
      </c>
      <c r="E8" t="s">
        <v>8</v>
      </c>
    </row>
    <row r="9" spans="1:5" x14ac:dyDescent="0.3">
      <c r="A9" t="s">
        <v>29</v>
      </c>
      <c r="B9" t="s">
        <v>30</v>
      </c>
      <c r="C9" t="s">
        <v>31</v>
      </c>
      <c r="D9">
        <v>8549</v>
      </c>
      <c r="E9" t="s">
        <v>18</v>
      </c>
    </row>
    <row r="10" spans="1:5" x14ac:dyDescent="0.3">
      <c r="A10" t="s">
        <v>32</v>
      </c>
      <c r="B10" t="s">
        <v>33</v>
      </c>
      <c r="C10" t="s">
        <v>34</v>
      </c>
      <c r="D10">
        <v>6500</v>
      </c>
      <c r="E10" t="s">
        <v>8</v>
      </c>
    </row>
    <row r="11" spans="1:5" x14ac:dyDescent="0.3">
      <c r="A11" t="s">
        <v>35</v>
      </c>
      <c r="B11" t="s">
        <v>36</v>
      </c>
      <c r="C11" t="s">
        <v>37</v>
      </c>
      <c r="D11">
        <v>1500</v>
      </c>
      <c r="E11" t="s">
        <v>8</v>
      </c>
    </row>
    <row r="12" spans="1:5" x14ac:dyDescent="0.3">
      <c r="A12" t="s">
        <v>38</v>
      </c>
      <c r="B12" t="s">
        <v>39</v>
      </c>
      <c r="C12" t="s">
        <v>40</v>
      </c>
      <c r="D12">
        <v>4500</v>
      </c>
      <c r="E12" t="s">
        <v>8</v>
      </c>
    </row>
    <row r="13" spans="1:5" x14ac:dyDescent="0.3">
      <c r="A13" t="s">
        <v>41</v>
      </c>
      <c r="B13" t="s">
        <v>42</v>
      </c>
      <c r="C13" t="s">
        <v>43</v>
      </c>
      <c r="D13">
        <v>1580</v>
      </c>
      <c r="E13" t="s">
        <v>8</v>
      </c>
    </row>
    <row r="14" spans="1:5" x14ac:dyDescent="0.3">
      <c r="A14" t="s">
        <v>44</v>
      </c>
      <c r="B14" t="s">
        <v>45</v>
      </c>
      <c r="C14" t="s">
        <v>46</v>
      </c>
      <c r="D14">
        <v>2650</v>
      </c>
      <c r="E14" t="s">
        <v>18</v>
      </c>
    </row>
    <row r="15" spans="1:5" x14ac:dyDescent="0.3">
      <c r="A15" t="s">
        <v>47</v>
      </c>
      <c r="B15" t="s">
        <v>48</v>
      </c>
      <c r="C15" t="s">
        <v>49</v>
      </c>
      <c r="D15">
        <v>4660</v>
      </c>
      <c r="E15" t="s">
        <v>8</v>
      </c>
    </row>
    <row r="16" spans="1:5" x14ac:dyDescent="0.3">
      <c r="A16" t="s">
        <v>50</v>
      </c>
      <c r="B16" t="s">
        <v>51</v>
      </c>
      <c r="C16" t="s">
        <v>52</v>
      </c>
      <c r="D16">
        <v>4550</v>
      </c>
      <c r="E16" t="s">
        <v>8</v>
      </c>
    </row>
    <row r="17" spans="1:5" x14ac:dyDescent="0.3">
      <c r="A17" t="s">
        <v>53</v>
      </c>
      <c r="B17" t="s">
        <v>54</v>
      </c>
      <c r="C17" t="s">
        <v>55</v>
      </c>
      <c r="D17">
        <v>1280</v>
      </c>
      <c r="E17" t="s">
        <v>8</v>
      </c>
    </row>
    <row r="18" spans="1:5" x14ac:dyDescent="0.3">
      <c r="A18" t="s">
        <v>56</v>
      </c>
      <c r="B18" t="s">
        <v>57</v>
      </c>
      <c r="C18" t="s">
        <v>58</v>
      </c>
      <c r="D18">
        <v>1800</v>
      </c>
      <c r="E18" t="s">
        <v>18</v>
      </c>
    </row>
    <row r="19" spans="1:5" x14ac:dyDescent="0.3">
      <c r="A19" t="s">
        <v>59</v>
      </c>
      <c r="B19" t="s">
        <v>60</v>
      </c>
      <c r="C19" t="s">
        <v>61</v>
      </c>
      <c r="D19">
        <v>2500</v>
      </c>
      <c r="E19" t="s">
        <v>8</v>
      </c>
    </row>
    <row r="20" spans="1:5" x14ac:dyDescent="0.3">
      <c r="A20" t="s">
        <v>62</v>
      </c>
      <c r="B20" t="s">
        <v>63</v>
      </c>
      <c r="C20" t="s">
        <v>64</v>
      </c>
      <c r="D20">
        <v>2700</v>
      </c>
      <c r="E20" t="s">
        <v>25</v>
      </c>
    </row>
    <row r="21" spans="1:5" x14ac:dyDescent="0.3">
      <c r="A21" t="s">
        <v>65</v>
      </c>
      <c r="B21" t="s">
        <v>66</v>
      </c>
      <c r="C21" t="s">
        <v>67</v>
      </c>
      <c r="D21">
        <v>4500</v>
      </c>
      <c r="E21" t="s">
        <v>18</v>
      </c>
    </row>
    <row r="23" spans="1:5" x14ac:dyDescent="0.3">
      <c r="A23" t="str">
        <f>INDEX(A2:A21,MATCH("ball joint",C2:C21,0))</f>
        <v>SP318</v>
      </c>
      <c r="B23" t="str">
        <f>VLOOKUP("A002",B2:E21,2,FALSE)</f>
        <v>alternator</v>
      </c>
      <c r="C23">
        <f>VLOOKUP("muffler",C2:E21,2,FALSE)</f>
        <v>1600</v>
      </c>
      <c r="E23" t="str">
        <f>VLOOKUP("A008",B2:E21,4,FALSE)</f>
        <v>In stock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7F71-B803-4D77-A1AE-ED29DC5E4BAA}">
  <dimension ref="A1"/>
  <sheetViews>
    <sheetView workbookViewId="0">
      <selection activeCell="G12" sqref="G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RAJKESH CHAUHAN</cp:lastModifiedBy>
  <dcterms:created xsi:type="dcterms:W3CDTF">2026-03-08T10:00:14Z</dcterms:created>
  <dcterms:modified xsi:type="dcterms:W3CDTF">2026-03-08T10:05:53Z</dcterms:modified>
</cp:coreProperties>
</file>