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\Desktop\DATA PRACT\Vlookup\"/>
    </mc:Choice>
  </mc:AlternateContent>
  <xr:revisionPtr revIDLastSave="0" documentId="13_ncr:1_{09720982-68FF-473F-8E90-1FB7FA1E0ED1}" xr6:coauthVersionLast="47" xr6:coauthVersionMax="47" xr10:uidLastSave="{00000000-0000-0000-0000-000000000000}"/>
  <bookViews>
    <workbookView xWindow="-108" yWindow="-108" windowWidth="23256" windowHeight="12456" xr2:uid="{B7D66B6F-9792-43CD-8747-00F0EB40D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E23" i="1"/>
  <c r="D23" i="1"/>
  <c r="A23" i="1"/>
</calcChain>
</file>

<file path=xl/sharedStrings.xml><?xml version="1.0" encoding="utf-8"?>
<sst xmlns="http://schemas.openxmlformats.org/spreadsheetml/2006/main" count="85" uniqueCount="68">
  <si>
    <t>Supplier ID</t>
  </si>
  <si>
    <t>Part Number</t>
  </si>
  <si>
    <t>Part Name</t>
  </si>
  <si>
    <t>Part Price</t>
  </si>
  <si>
    <t>Status</t>
  </si>
  <si>
    <t>SP301</t>
  </si>
  <si>
    <t>A001</t>
  </si>
  <si>
    <t>water</t>
  </si>
  <si>
    <t>In</t>
  </si>
  <si>
    <t>SP302</t>
  </si>
  <si>
    <t>A002</t>
  </si>
  <si>
    <t>alternator</t>
  </si>
  <si>
    <t>SP303</t>
  </si>
  <si>
    <t>A003</t>
  </si>
  <si>
    <t>air filter</t>
  </si>
  <si>
    <t>SP304</t>
  </si>
  <si>
    <t>A004</t>
  </si>
  <si>
    <t>wheel bearing</t>
  </si>
  <si>
    <t>In stock</t>
  </si>
  <si>
    <t>SP305</t>
  </si>
  <si>
    <t>A005</t>
  </si>
  <si>
    <t>muffler</t>
  </si>
  <si>
    <t>SP306</t>
  </si>
  <si>
    <t>A006</t>
  </si>
  <si>
    <t>oil pan</t>
  </si>
  <si>
    <t>Out of stock</t>
  </si>
  <si>
    <t>SP307</t>
  </si>
  <si>
    <t>A007</t>
  </si>
  <si>
    <t>brake pads</t>
  </si>
  <si>
    <t>SP308</t>
  </si>
  <si>
    <t>A008</t>
  </si>
  <si>
    <t>rotors</t>
  </si>
  <si>
    <t>SP309</t>
  </si>
  <si>
    <t>A009</t>
  </si>
  <si>
    <t>headlight</t>
  </si>
  <si>
    <t>SP310</t>
  </si>
  <si>
    <t>A010</t>
  </si>
  <si>
    <t>brake</t>
  </si>
  <si>
    <t>SP311</t>
  </si>
  <si>
    <t>A011</t>
  </si>
  <si>
    <t>strut</t>
  </si>
  <si>
    <t>SP312</t>
  </si>
  <si>
    <t>A012</t>
  </si>
  <si>
    <t>CV Boot</t>
  </si>
  <si>
    <t>SP313</t>
  </si>
  <si>
    <t>A013</t>
  </si>
  <si>
    <t>kit</t>
  </si>
  <si>
    <t>SP314</t>
  </si>
  <si>
    <t>A014</t>
  </si>
  <si>
    <t>Oil Pump</t>
  </si>
  <si>
    <t>SP315</t>
  </si>
  <si>
    <t>A015</t>
  </si>
  <si>
    <t>Oil Filter</t>
  </si>
  <si>
    <t>SP316</t>
  </si>
  <si>
    <t>A016</t>
  </si>
  <si>
    <t>Fuel Filter</t>
  </si>
  <si>
    <t>SP317</t>
  </si>
  <si>
    <t>A017</t>
  </si>
  <si>
    <t>Tie Rod End</t>
  </si>
  <si>
    <t>SP318</t>
  </si>
  <si>
    <t>A018</t>
  </si>
  <si>
    <t>Ball Joint</t>
  </si>
  <si>
    <t>SP319</t>
  </si>
  <si>
    <t>A019</t>
  </si>
  <si>
    <t>Steering Rack</t>
  </si>
  <si>
    <t>SP320</t>
  </si>
  <si>
    <t>A020</t>
  </si>
  <si>
    <t>Piston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</si>
</sst>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FB1D-1C3B-43D5-881F-6D2F20AF8F5F}">
  <dimension ref="A1:E23"/>
  <sheetViews>
    <sheetView tabSelected="1" workbookViewId="0">
      <selection activeCell="B24" sqref="B24"/>
    </sheetView>
  </sheetViews>
  <sheetFormatPr defaultRowHeight="14.4" x14ac:dyDescent="0.3"/>
  <cols>
    <col min="1" max="1" width="13.44140625" customWidth="1"/>
    <col min="2" max="2" width="14.6640625" customWidth="1"/>
    <col min="3" max="3" width="14" customWidth="1"/>
    <col min="4" max="4" width="16.5546875" customWidth="1"/>
    <col min="5" max="5" width="14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6800</v>
      </c>
      <c r="E2" s="2" t="s">
        <v>8</v>
      </c>
    </row>
    <row r="3" spans="1:5" x14ac:dyDescent="0.3">
      <c r="A3" s="2" t="s">
        <v>9</v>
      </c>
      <c r="B3" s="2" t="s">
        <v>10</v>
      </c>
      <c r="C3" s="2" t="s">
        <v>11</v>
      </c>
      <c r="D3" s="2">
        <v>3800</v>
      </c>
      <c r="E3" s="2" t="s">
        <v>8</v>
      </c>
    </row>
    <row r="4" spans="1:5" x14ac:dyDescent="0.3">
      <c r="A4" s="2" t="s">
        <v>12</v>
      </c>
      <c r="B4" s="2" t="s">
        <v>13</v>
      </c>
      <c r="C4" s="2" t="s">
        <v>14</v>
      </c>
      <c r="D4" s="2">
        <v>4500</v>
      </c>
      <c r="E4" s="2" t="s">
        <v>8</v>
      </c>
    </row>
    <row r="5" spans="1:5" x14ac:dyDescent="0.3">
      <c r="A5" s="2" t="s">
        <v>15</v>
      </c>
      <c r="B5" s="2" t="s">
        <v>16</v>
      </c>
      <c r="C5" s="2" t="s">
        <v>17</v>
      </c>
      <c r="D5" s="2">
        <v>3582</v>
      </c>
      <c r="E5" s="2" t="s">
        <v>18</v>
      </c>
    </row>
    <row r="6" spans="1:5" x14ac:dyDescent="0.3">
      <c r="A6" s="2" t="s">
        <v>19</v>
      </c>
      <c r="B6" s="2" t="s">
        <v>20</v>
      </c>
      <c r="C6" s="2" t="s">
        <v>21</v>
      </c>
      <c r="D6" s="2">
        <v>1600</v>
      </c>
      <c r="E6" s="2" t="s">
        <v>8</v>
      </c>
    </row>
    <row r="7" spans="1:5" x14ac:dyDescent="0.3">
      <c r="A7" s="2" t="s">
        <v>22</v>
      </c>
      <c r="B7" s="2" t="s">
        <v>23</v>
      </c>
      <c r="C7" s="2" t="s">
        <v>24</v>
      </c>
      <c r="D7" s="2">
        <v>1005</v>
      </c>
      <c r="E7" s="2" t="s">
        <v>25</v>
      </c>
    </row>
    <row r="8" spans="1:5" x14ac:dyDescent="0.3">
      <c r="A8" s="2" t="s">
        <v>26</v>
      </c>
      <c r="B8" s="2" t="s">
        <v>27</v>
      </c>
      <c r="C8" s="2" t="s">
        <v>28</v>
      </c>
      <c r="D8" s="2">
        <v>6500</v>
      </c>
      <c r="E8" s="2" t="s">
        <v>8</v>
      </c>
    </row>
    <row r="9" spans="1:5" x14ac:dyDescent="0.3">
      <c r="A9" s="2" t="s">
        <v>29</v>
      </c>
      <c r="B9" s="2" t="s">
        <v>30</v>
      </c>
      <c r="C9" s="2" t="s">
        <v>31</v>
      </c>
      <c r="D9" s="2">
        <v>8549</v>
      </c>
      <c r="E9" s="2" t="s">
        <v>25</v>
      </c>
    </row>
    <row r="10" spans="1:5" x14ac:dyDescent="0.3">
      <c r="A10" s="2" t="s">
        <v>32</v>
      </c>
      <c r="B10" s="2" t="s">
        <v>33</v>
      </c>
      <c r="C10" s="2" t="s">
        <v>34</v>
      </c>
      <c r="D10" s="2">
        <v>6500</v>
      </c>
      <c r="E10" s="2" t="s">
        <v>8</v>
      </c>
    </row>
    <row r="11" spans="1:5" x14ac:dyDescent="0.3">
      <c r="A11" s="2" t="s">
        <v>35</v>
      </c>
      <c r="B11" s="2" t="s">
        <v>36</v>
      </c>
      <c r="C11" s="2" t="s">
        <v>37</v>
      </c>
      <c r="D11" s="2">
        <v>1500</v>
      </c>
      <c r="E11" s="2" t="s">
        <v>8</v>
      </c>
    </row>
    <row r="12" spans="1:5" x14ac:dyDescent="0.3">
      <c r="A12" s="2" t="s">
        <v>38</v>
      </c>
      <c r="B12" s="2" t="s">
        <v>39</v>
      </c>
      <c r="C12" s="2" t="s">
        <v>40</v>
      </c>
      <c r="D12" s="2">
        <v>4500</v>
      </c>
      <c r="E12" s="2" t="s">
        <v>8</v>
      </c>
    </row>
    <row r="13" spans="1:5" x14ac:dyDescent="0.3">
      <c r="A13" s="2" t="s">
        <v>41</v>
      </c>
      <c r="B13" s="2" t="s">
        <v>42</v>
      </c>
      <c r="C13" s="2" t="s">
        <v>43</v>
      </c>
      <c r="D13" s="2">
        <v>1580</v>
      </c>
      <c r="E13" s="2" t="s">
        <v>8</v>
      </c>
    </row>
    <row r="14" spans="1:5" x14ac:dyDescent="0.3">
      <c r="A14" s="2" t="s">
        <v>44</v>
      </c>
      <c r="B14" s="2" t="s">
        <v>45</v>
      </c>
      <c r="C14" s="2" t="s">
        <v>46</v>
      </c>
      <c r="D14" s="2">
        <v>2650</v>
      </c>
      <c r="E14" s="2" t="s">
        <v>18</v>
      </c>
    </row>
    <row r="15" spans="1:5" x14ac:dyDescent="0.3">
      <c r="A15" s="2" t="s">
        <v>47</v>
      </c>
      <c r="B15" s="2" t="s">
        <v>48</v>
      </c>
      <c r="C15" s="2" t="s">
        <v>49</v>
      </c>
      <c r="D15" s="2">
        <v>4660</v>
      </c>
      <c r="E15" s="2" t="s">
        <v>8</v>
      </c>
    </row>
    <row r="16" spans="1:5" x14ac:dyDescent="0.3">
      <c r="A16" s="2" t="s">
        <v>50</v>
      </c>
      <c r="B16" s="2" t="s">
        <v>51</v>
      </c>
      <c r="C16" s="2" t="s">
        <v>52</v>
      </c>
      <c r="D16" s="2">
        <v>4350</v>
      </c>
      <c r="E16" s="2" t="s">
        <v>8</v>
      </c>
    </row>
    <row r="17" spans="1:5" x14ac:dyDescent="0.3">
      <c r="A17" s="2" t="s">
        <v>53</v>
      </c>
      <c r="B17" s="2" t="s">
        <v>54</v>
      </c>
      <c r="C17" s="2" t="s">
        <v>55</v>
      </c>
      <c r="D17" s="2">
        <v>1280</v>
      </c>
      <c r="E17" s="2" t="s">
        <v>8</v>
      </c>
    </row>
    <row r="18" spans="1:5" x14ac:dyDescent="0.3">
      <c r="A18" s="2" t="s">
        <v>56</v>
      </c>
      <c r="B18" s="2" t="s">
        <v>57</v>
      </c>
      <c r="C18" s="2" t="s">
        <v>58</v>
      </c>
      <c r="D18" s="2">
        <v>1800</v>
      </c>
      <c r="E18" s="2" t="s">
        <v>18</v>
      </c>
    </row>
    <row r="19" spans="1:5" x14ac:dyDescent="0.3">
      <c r="A19" s="2" t="s">
        <v>59</v>
      </c>
      <c r="B19" s="2" t="s">
        <v>60</v>
      </c>
      <c r="C19" s="2" t="s">
        <v>61</v>
      </c>
      <c r="D19" s="2">
        <v>2500</v>
      </c>
      <c r="E19" s="2" t="s">
        <v>8</v>
      </c>
    </row>
    <row r="20" spans="1:5" x14ac:dyDescent="0.3">
      <c r="A20" s="2" t="s">
        <v>62</v>
      </c>
      <c r="B20" s="2" t="s">
        <v>63</v>
      </c>
      <c r="C20" s="2" t="s">
        <v>64</v>
      </c>
      <c r="D20" s="2">
        <v>2700</v>
      </c>
      <c r="E20" s="2" t="s">
        <v>25</v>
      </c>
    </row>
    <row r="21" spans="1:5" x14ac:dyDescent="0.3">
      <c r="A21" s="2" t="s">
        <v>65</v>
      </c>
      <c r="B21" s="2" t="s">
        <v>66</v>
      </c>
      <c r="C21" s="2" t="s">
        <v>67</v>
      </c>
      <c r="D21" s="2">
        <v>4500</v>
      </c>
      <c r="E21" s="2" t="s">
        <v>25</v>
      </c>
    </row>
    <row r="23" spans="1:5" x14ac:dyDescent="0.3">
      <c r="A23" t="str">
        <f>INDEX(A2:A21,MATCH("Oil Pump",C2:C21,0))</f>
        <v>SP314</v>
      </c>
      <c r="B23" t="str">
        <f>VLOOKUP("A014",B2:E21,2,FALSE)</f>
        <v>Oil Pump</v>
      </c>
      <c r="D23">
        <f>VLOOKUP("brake",C2:E21,2,FALSE)</f>
        <v>1500</v>
      </c>
      <c r="E23" t="str">
        <f>VLOOKUP("A020",B2:E21,4,FALSE)</f>
        <v>Out of stock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RAJKESH CHAUHAN</dc:creator>
  <cp:lastModifiedBy>RAJKESH CHAUHAN</cp:lastModifiedBy>
  <dcterms:created xsi:type="dcterms:W3CDTF">2026-03-08T10:21:21Z</dcterms:created>
  <dcterms:modified xsi:type="dcterms:W3CDTF">2026-03-08T10:26:18Z</dcterms:modified>
</cp:coreProperties>
</file>