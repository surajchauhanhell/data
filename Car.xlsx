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h\Desktop\"/>
    </mc:Choice>
  </mc:AlternateContent>
  <xr:revisionPtr revIDLastSave="0" documentId="13_ncr:1_{13F01C97-2DDD-4CFC-8E94-71AD87A84AB8}" xr6:coauthVersionLast="47" xr6:coauthVersionMax="47" xr10:uidLastSave="{00000000-0000-0000-0000-000000000000}"/>
  <bookViews>
    <workbookView xWindow="-108" yWindow="-108" windowWidth="23256" windowHeight="12456" activeTab="4" xr2:uid="{50300578-14F6-4447-AC28-CF518ED1AF5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<sst xmlns="http://schemas.openxmlformats.org/spreadsheetml/2006/main" count="265" uniqueCount="37">
  <si>
    <t>Make</t>
  </si>
  <si>
    <t>Model</t>
  </si>
  <si>
    <t>Color</t>
  </si>
  <si>
    <t>Mileage</t>
  </si>
  <si>
    <t>Sell Price</t>
  </si>
  <si>
    <t>Buy Price</t>
  </si>
  <si>
    <t>Honda</t>
  </si>
  <si>
    <t>Accord</t>
  </si>
  <si>
    <t>Red</t>
  </si>
  <si>
    <t>Blue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</si>
  <si>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</si>
  <si>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</si>
  <si>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</si>
  <si>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</si>
  <si>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</si>
  <si>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</si>
  <si>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</si>
  <si>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</si>
  <si>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</si>
  <si>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</si>
  <si>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</si>
  <si>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</si>
  <si>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</si>
  <si>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</si>
  <si>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Silver</t>
  </si>
  <si>
    <t>Dodge</t>
  </si>
  <si>
    <t>Charger</t>
  </si>
  <si>
    <t>Row Labels</t>
  </si>
  <si>
    <t>Grand Total</t>
  </si>
  <si>
    <t>Count of Make</t>
  </si>
  <si>
    <t>Count of Model</t>
  </si>
  <si>
    <t>Sum of Sell Price</t>
  </si>
  <si>
    <t>Sum of Buy Price</t>
  </si>
  <si>
    <t>Average of Sell Price</t>
  </si>
  <si>
    <t>Average of Buy Price</t>
  </si>
  <si>
    <t>Count of Color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</si>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</sst>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5499571759" createdVersion="8" refreshedVersion="8" minRefreshableVersion="3" recordCount="11" xr:uid="{242837F8-C507-4568-98B7-80DA2E78D304}">
  <cacheSource type="worksheet">
    <worksheetSource ref="A1:F12" sheet="Sheet1"/>
  </cacheSource>
  <cacheFields count="6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55895833335" createdVersion="8" refreshedVersion="8" minRefreshableVersion="3" recordCount="11" xr:uid="{C0F1AA17-7876-466F-8F63-2CD947C229B7}">
  <cacheSource type="worksheet">
    <worksheetSource ref="A1:F12" sheet="Sheet2"/>
  </cacheSource>
  <cacheFields count="6">
    <cacheField name="Make" numFmtId="0">
      <sharedItems/>
    </cacheField>
    <cacheField name="Model" numFmtId="0">
      <sharedItems count="9">
        <s v="Accord"/>
        <s v="Camry"/>
        <s v="Altima"/>
        <s v="Corolla"/>
        <s v="Civic"/>
        <s v="F-150"/>
        <s v="Silverado"/>
        <s v="Impala"/>
        <s v="Charger"/>
      </sharedItems>
    </cacheField>
    <cacheField name="Color" numFmtId="0">
      <sharedItems/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58174652775" createdVersion="8" refreshedVersion="8" minRefreshableVersion="3" recordCount="11" xr:uid="{0B29B760-E1CD-40AF-88A3-781FD921108B}">
  <cacheSource type="worksheet">
    <worksheetSource ref="A1:F12" sheet="Sheet3"/>
  </cacheSource>
  <cacheFields count="7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9">
        <s v="Accord"/>
        <s v="Camry"/>
        <s v="Altima"/>
        <s v="Corolla"/>
        <s v="Civic"/>
        <s v="F-150"/>
        <s v="Silverado"/>
        <s v="Impala"/>
        <s v="Charger"/>
      </sharedItems>
    </cacheField>
    <cacheField name="Color" numFmtId="0">
      <sharedItems count="6">
        <s v="Red"/>
        <s v="Blue"/>
        <s v="Black"/>
        <s v="Green"/>
        <s v="White"/>
        <s v="Silver"/>
      </sharedItems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 count="11">
        <n v="4000"/>
        <n v="2500"/>
        <n v="45000"/>
        <n v="3826"/>
        <n v="2224"/>
        <n v="2723"/>
        <n v="3950"/>
        <n v="4959"/>
        <n v="3791"/>
        <n v="4349"/>
        <n v="4252"/>
      </sharedItems>
    </cacheField>
    <cacheField name="Buy Price" numFmtId="0">
      <sharedItems containsSemiMixedTypes="0" containsString="0" containsNumber="1" containsInteger="1" minValue="1900" maxValue="44000" count="8">
        <n v="3000"/>
        <n v="2000"/>
        <n v="44000"/>
        <n v="2100"/>
        <n v="1900"/>
        <n v="4500"/>
        <n v="3500"/>
        <n v="4000"/>
      </sharedItems>
    </cacheField>
    <cacheField name="Profit" numFmtId="0" formula="'Sell Price'-'Buy 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67888888887" createdVersion="8" refreshedVersion="8" minRefreshableVersion="3" recordCount="11" xr:uid="{5FD69AAA-42AF-4D6B-8C60-D19A0D3889A4}">
  <cacheSource type="worksheet">
    <worksheetSource ref="A1:F12" sheet="Sheet4"/>
  </cacheSource>
  <cacheFields count="6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69499305559" createdVersion="8" refreshedVersion="8" minRefreshableVersion="3" recordCount="11" xr:uid="{B839622A-C8E5-4E2B-981A-8F98765D6B60}">
  <cacheSource type="worksheet">
    <worksheetSource ref="A1:F12" sheet="Sheet5"/>
  </cacheSource>
  <cacheFields count="6">
    <cacheField name="Make" numFmtId="0">
      <sharedItems/>
    </cacheField>
    <cacheField name="Model" numFmtId="0">
      <sharedItems/>
    </cacheField>
    <cacheField name="Color" numFmtId="0">
      <sharedItems count="6">
        <s v="Red"/>
        <s v="Blue"/>
        <s v="Black"/>
        <s v="Green"/>
        <s v="White"/>
        <s v="Silver"/>
      </sharedItems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Accord"/>
    <s v="Red"/>
    <n v="63512"/>
    <n v="4000"/>
    <n v="3000"/>
  </r>
  <r>
    <x v="0"/>
    <s v="Accord"/>
    <s v="Blue"/>
    <n v="95135"/>
    <n v="2500"/>
    <n v="2000"/>
  </r>
  <r>
    <x v="1"/>
    <s v="Camry"/>
    <s v="Black"/>
    <n v="75006"/>
    <n v="45000"/>
    <n v="44000"/>
  </r>
  <r>
    <x v="2"/>
    <s v="Altima"/>
    <s v="Green"/>
    <n v="69847"/>
    <n v="3826"/>
    <n v="3000"/>
  </r>
  <r>
    <x v="1"/>
    <s v="Corolla"/>
    <s v="Black"/>
    <n v="87278"/>
    <n v="2224"/>
    <n v="2100"/>
  </r>
  <r>
    <x v="0"/>
    <s v="Civic"/>
    <s v="White"/>
    <n v="138789"/>
    <n v="2723"/>
    <n v="1900"/>
  </r>
  <r>
    <x v="3"/>
    <s v="F-150"/>
    <s v="Black"/>
    <n v="89073"/>
    <n v="3950"/>
    <n v="3000"/>
  </r>
  <r>
    <x v="4"/>
    <s v="Silverado"/>
    <s v="Green"/>
    <n v="109231"/>
    <n v="4959"/>
    <n v="4500"/>
  </r>
  <r>
    <x v="4"/>
    <s v="Impala"/>
    <s v="Silver"/>
    <n v="87675"/>
    <n v="3791"/>
    <n v="3500"/>
  </r>
  <r>
    <x v="5"/>
    <s v="Charger"/>
    <s v="Silver"/>
    <n v="34853"/>
    <n v="4349"/>
    <n v="3500"/>
  </r>
  <r>
    <x v="5"/>
    <s v="Charger"/>
    <s v="Silver"/>
    <n v="58173"/>
    <n v="4252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Honda"/>
    <x v="0"/>
    <s v="Red"/>
    <n v="63512"/>
    <n v="4000"/>
    <n v="3000"/>
  </r>
  <r>
    <s v="Honda"/>
    <x v="0"/>
    <s v="Blue"/>
    <n v="95135"/>
    <n v="2500"/>
    <n v="2000"/>
  </r>
  <r>
    <s v="Toyota"/>
    <x v="1"/>
    <s v="Black"/>
    <n v="75006"/>
    <n v="45000"/>
    <n v="44000"/>
  </r>
  <r>
    <s v="Nissan"/>
    <x v="2"/>
    <s v="Green"/>
    <n v="69847"/>
    <n v="3826"/>
    <n v="3000"/>
  </r>
  <r>
    <s v="Toyota"/>
    <x v="3"/>
    <s v="Black"/>
    <n v="87278"/>
    <n v="2224"/>
    <n v="2100"/>
  </r>
  <r>
    <s v="Honda"/>
    <x v="4"/>
    <s v="White"/>
    <n v="138789"/>
    <n v="2723"/>
    <n v="1900"/>
  </r>
  <r>
    <s v="Ford"/>
    <x v="5"/>
    <s v="Black"/>
    <n v="89073"/>
    <n v="3950"/>
    <n v="3000"/>
  </r>
  <r>
    <s v="Chevrolet"/>
    <x v="6"/>
    <s v="Green"/>
    <n v="109231"/>
    <n v="4959"/>
    <n v="4500"/>
  </r>
  <r>
    <s v="Chevrolet"/>
    <x v="7"/>
    <s v="Silver"/>
    <n v="87675"/>
    <n v="3791"/>
    <n v="3500"/>
  </r>
  <r>
    <s v="Dodge"/>
    <x v="8"/>
    <s v="Silver"/>
    <n v="34853"/>
    <n v="4349"/>
    <n v="3500"/>
  </r>
  <r>
    <s v="Dodge"/>
    <x v="8"/>
    <s v="Silver"/>
    <n v="58173"/>
    <n v="4252"/>
    <n v="4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n v="63512"/>
    <x v="0"/>
    <x v="0"/>
  </r>
  <r>
    <x v="0"/>
    <x v="0"/>
    <x v="1"/>
    <n v="95135"/>
    <x v="1"/>
    <x v="1"/>
  </r>
  <r>
    <x v="1"/>
    <x v="1"/>
    <x v="2"/>
    <n v="75006"/>
    <x v="2"/>
    <x v="2"/>
  </r>
  <r>
    <x v="2"/>
    <x v="2"/>
    <x v="3"/>
    <n v="69847"/>
    <x v="3"/>
    <x v="0"/>
  </r>
  <r>
    <x v="1"/>
    <x v="3"/>
    <x v="2"/>
    <n v="87278"/>
    <x v="4"/>
    <x v="3"/>
  </r>
  <r>
    <x v="0"/>
    <x v="4"/>
    <x v="4"/>
    <n v="138789"/>
    <x v="5"/>
    <x v="4"/>
  </r>
  <r>
    <x v="3"/>
    <x v="5"/>
    <x v="2"/>
    <n v="89073"/>
    <x v="6"/>
    <x v="0"/>
  </r>
  <r>
    <x v="4"/>
    <x v="6"/>
    <x v="3"/>
    <n v="109231"/>
    <x v="7"/>
    <x v="5"/>
  </r>
  <r>
    <x v="4"/>
    <x v="7"/>
    <x v="5"/>
    <n v="87675"/>
    <x v="8"/>
    <x v="6"/>
  </r>
  <r>
    <x v="5"/>
    <x v="8"/>
    <x v="5"/>
    <n v="34853"/>
    <x v="9"/>
    <x v="6"/>
  </r>
  <r>
    <x v="5"/>
    <x v="8"/>
    <x v="5"/>
    <n v="58173"/>
    <x v="10"/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Accord"/>
    <s v="Red"/>
    <n v="63512"/>
    <n v="4000"/>
    <n v="3000"/>
  </r>
  <r>
    <x v="0"/>
    <s v="Accord"/>
    <s v="Blue"/>
    <n v="95135"/>
    <n v="2500"/>
    <n v="2000"/>
  </r>
  <r>
    <x v="1"/>
    <s v="Camry"/>
    <s v="Black"/>
    <n v="75006"/>
    <n v="45000"/>
    <n v="44000"/>
  </r>
  <r>
    <x v="2"/>
    <s v="Altima"/>
    <s v="Green"/>
    <n v="69847"/>
    <n v="3826"/>
    <n v="3000"/>
  </r>
  <r>
    <x v="1"/>
    <s v="Corolla"/>
    <s v="Black"/>
    <n v="87278"/>
    <n v="2224"/>
    <n v="2100"/>
  </r>
  <r>
    <x v="0"/>
    <s v="Civic"/>
    <s v="White"/>
    <n v="138789"/>
    <n v="2723"/>
    <n v="1900"/>
  </r>
  <r>
    <x v="3"/>
    <s v="F-150"/>
    <s v="Black"/>
    <n v="89073"/>
    <n v="3950"/>
    <n v="3000"/>
  </r>
  <r>
    <x v="4"/>
    <s v="Silverado"/>
    <s v="Green"/>
    <n v="109231"/>
    <n v="4959"/>
    <n v="4500"/>
  </r>
  <r>
    <x v="4"/>
    <s v="Impala"/>
    <s v="Silver"/>
    <n v="87675"/>
    <n v="3791"/>
    <n v="3500"/>
  </r>
  <r>
    <x v="5"/>
    <s v="Charger"/>
    <s v="Silver"/>
    <n v="34853"/>
    <n v="4349"/>
    <n v="3500"/>
  </r>
  <r>
    <x v="5"/>
    <s v="Charger"/>
    <s v="Silver"/>
    <n v="58173"/>
    <n v="4252"/>
    <n v="4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Honda"/>
    <s v="Accord"/>
    <x v="0"/>
    <n v="63512"/>
    <n v="4000"/>
    <n v="3000"/>
  </r>
  <r>
    <s v="Honda"/>
    <s v="Accord"/>
    <x v="1"/>
    <n v="95135"/>
    <n v="2500"/>
    <n v="2000"/>
  </r>
  <r>
    <s v="Toyota"/>
    <s v="Camry"/>
    <x v="2"/>
    <n v="75006"/>
    <n v="45000"/>
    <n v="44000"/>
  </r>
  <r>
    <s v="Nissan"/>
    <s v="Altima"/>
    <x v="3"/>
    <n v="69847"/>
    <n v="3826"/>
    <n v="3000"/>
  </r>
  <r>
    <s v="Toyota"/>
    <s v="Corolla"/>
    <x v="2"/>
    <n v="87278"/>
    <n v="2224"/>
    <n v="2100"/>
  </r>
  <r>
    <s v="Honda"/>
    <s v="Civic"/>
    <x v="4"/>
    <n v="138789"/>
    <n v="2723"/>
    <n v="1900"/>
  </r>
  <r>
    <s v="Ford"/>
    <s v="F-150"/>
    <x v="2"/>
    <n v="89073"/>
    <n v="3950"/>
    <n v="3000"/>
  </r>
  <r>
    <s v="Chevrolet"/>
    <s v="Silverado"/>
    <x v="3"/>
    <n v="109231"/>
    <n v="4959"/>
    <n v="4500"/>
  </r>
  <r>
    <s v="Chevrolet"/>
    <s v="Impala"/>
    <x v="5"/>
    <n v="87675"/>
    <n v="3791"/>
    <n v="3500"/>
  </r>
  <r>
    <s v="Dodge"/>
    <s v="Charger"/>
    <x v="5"/>
    <n v="34853"/>
    <n v="4349"/>
    <n v="3500"/>
  </r>
  <r>
    <s v="Dodge"/>
    <s v="Charger"/>
    <x v="5"/>
    <n v="58173"/>
    <n v="4252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92CA6-37AE-4BD5-BCFA-0E91D2DD89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8" firstHeaderRow="1" firstDataRow="1" firstDataCol="1"/>
  <pivotFields count="6">
    <pivotField axis="axisRow" dataField="1" showAll="0">
      <items count="7">
        <item x="4"/>
        <item x="5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ak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3CF41-B092-421C-985B-9E37095C6A9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11" firstHeaderRow="1" firstDataRow="1" firstDataCol="1"/>
  <pivotFields count="6">
    <pivotField showAll="0"/>
    <pivotField axis="axisRow" dataField="1" showAll="0">
      <items count="10">
        <item x="0"/>
        <item x="2"/>
        <item x="1"/>
        <item x="8"/>
        <item x="4"/>
        <item x="3"/>
        <item x="5"/>
        <item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od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C1277-2585-4E56-B079-0A91ED8C01C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L27" firstHeaderRow="0" firstDataRow="1" firstDataCol="1"/>
  <pivotFields count="7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axis="axisRow" showAll="0">
      <items count="10">
        <item x="0"/>
        <item x="2"/>
        <item x="1"/>
        <item x="8"/>
        <item x="4"/>
        <item x="3"/>
        <item x="5"/>
        <item x="7"/>
        <item x="6"/>
        <item t="default"/>
      </items>
    </pivotField>
    <pivotField axis="axisRow" showAll="0">
      <items count="7">
        <item x="2"/>
        <item x="1"/>
        <item x="3"/>
        <item x="0"/>
        <item x="5"/>
        <item x="4"/>
        <item t="default"/>
      </items>
    </pivotField>
    <pivotField showAll="0"/>
    <pivotField dataField="1" showAll="0"/>
    <pivotField dataField="1" showAll="0"/>
    <pivotField dataField="1" dragToRow="0" dragToCol="0" dragToPage="0" showAll="0" defaultSubtotal="0"/>
  </pivotFields>
  <rowFields count="3">
    <field x="0"/>
    <field x="1"/>
    <field x="2"/>
  </rowFields>
  <rowItems count="26">
    <i>
      <x/>
    </i>
    <i r="1">
      <x v="7"/>
    </i>
    <i r="2">
      <x v="4"/>
    </i>
    <i r="1">
      <x v="8"/>
    </i>
    <i r="2">
      <x v="2"/>
    </i>
    <i>
      <x v="1"/>
    </i>
    <i r="1">
      <x v="3"/>
    </i>
    <i r="2">
      <x v="4"/>
    </i>
    <i>
      <x v="2"/>
    </i>
    <i r="1">
      <x v="6"/>
    </i>
    <i r="2">
      <x/>
    </i>
    <i>
      <x v="3"/>
    </i>
    <i r="1">
      <x/>
    </i>
    <i r="2">
      <x v="1"/>
    </i>
    <i r="2">
      <x v="3"/>
    </i>
    <i r="1">
      <x v="4"/>
    </i>
    <i r="2">
      <x v="5"/>
    </i>
    <i>
      <x v="4"/>
    </i>
    <i r="1">
      <x v="1"/>
    </i>
    <i r="2">
      <x v="2"/>
    </i>
    <i>
      <x v="5"/>
    </i>
    <i r="1">
      <x v="2"/>
    </i>
    <i r="2">
      <x/>
    </i>
    <i r="1">
      <x v="5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ell Price" fld="4" baseField="0" baseItem="0"/>
    <dataField name="Sum of Buy Price" fld="5" baseField="0" baseItem="0"/>
    <dataField name="Profit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0A49F-CE13-47C1-A3D2-BE645FB4855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8" firstHeaderRow="0" firstDataRow="1" firstDataCol="1"/>
  <pivotFields count="6">
    <pivotField axis="axisRow" showAll="0" sortType="ascending">
      <items count="7">
        <item x="4"/>
        <item x="5"/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ell Price" fld="4" subtotal="average" baseField="0" baseItem="0"/>
    <dataField name="Average of Buy Price" fld="5" subtotal="average" baseField="0" baseItem="0"/>
  </dataFields>
  <formats count="1">
    <format dxfId="2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FF818-BE7D-4CBD-81D9-2030145C09A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8" firstHeaderRow="1" firstDataRow="1" firstDataCol="1"/>
  <pivotFields count="6">
    <pivotField showAll="0"/>
    <pivotField showAll="0"/>
    <pivotField axis="axisRow" dataField="1" showAll="0">
      <items count="7">
        <item x="2"/>
        <item x="1"/>
        <item x="3"/>
        <item x="0"/>
        <item x="5"/>
        <item x="4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lor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D216-FD10-4961-8557-F0C42FBC8BF7}">
  <dimension ref="A1:J12"/>
  <sheetViews>
    <sheetView workbookViewId="0">
      <selection sqref="A1:F12"/>
    </sheetView>
  </sheetViews>
  <sheetFormatPr defaultRowHeight="14.4" x14ac:dyDescent="0.3"/>
  <cols>
    <col min="9" max="9" width="12.5546875" bestFit="1" customWidth="1"/>
    <col min="10" max="10" width="13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29</v>
      </c>
    </row>
    <row r="2" spans="1:10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21</v>
      </c>
      <c r="J2">
        <v>2</v>
      </c>
    </row>
    <row r="3" spans="1:10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25</v>
      </c>
      <c r="J3">
        <v>2</v>
      </c>
    </row>
    <row r="4" spans="1:10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19</v>
      </c>
      <c r="J4">
        <v>1</v>
      </c>
    </row>
    <row r="5" spans="1:10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6</v>
      </c>
      <c r="J5">
        <v>3</v>
      </c>
    </row>
    <row r="6" spans="1:10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13</v>
      </c>
      <c r="J6">
        <v>1</v>
      </c>
    </row>
    <row r="7" spans="1:10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10</v>
      </c>
      <c r="J7">
        <v>2</v>
      </c>
    </row>
    <row r="8" spans="1:10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28</v>
      </c>
      <c r="J8">
        <v>11</v>
      </c>
    </row>
    <row r="9" spans="1:10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</row>
    <row r="10" spans="1:10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</row>
    <row r="11" spans="1:10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</row>
    <row r="12" spans="1:10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8046-7892-4E3F-9465-08DE81F29C86}">
  <dimension ref="A1:J12"/>
  <sheetViews>
    <sheetView workbookViewId="0">
      <selection activeCell="J7" sqref="J7"/>
    </sheetView>
  </sheetViews>
  <sheetFormatPr defaultRowHeight="14.4" x14ac:dyDescent="0.3"/>
  <cols>
    <col min="9" max="9" width="12.5546875" bestFit="1" customWidth="1"/>
    <col min="10" max="10" width="14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30</v>
      </c>
    </row>
    <row r="2" spans="1:10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7</v>
      </c>
      <c r="J2">
        <v>2</v>
      </c>
    </row>
    <row r="3" spans="1:10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14</v>
      </c>
      <c r="J3">
        <v>1</v>
      </c>
    </row>
    <row r="4" spans="1:10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11</v>
      </c>
      <c r="J4">
        <v>1</v>
      </c>
    </row>
    <row r="5" spans="1:10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26</v>
      </c>
      <c r="J5">
        <v>2</v>
      </c>
    </row>
    <row r="6" spans="1:10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17</v>
      </c>
      <c r="J6">
        <v>1</v>
      </c>
    </row>
    <row r="7" spans="1:10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16</v>
      </c>
      <c r="J7">
        <v>1</v>
      </c>
    </row>
    <row r="8" spans="1:10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20</v>
      </c>
      <c r="J8">
        <v>1</v>
      </c>
    </row>
    <row r="9" spans="1:10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  <c r="I9" s="2" t="s">
        <v>23</v>
      </c>
      <c r="J9">
        <v>1</v>
      </c>
    </row>
    <row r="10" spans="1:10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  <c r="I10" s="2" t="s">
        <v>22</v>
      </c>
      <c r="J10">
        <v>1</v>
      </c>
    </row>
    <row r="11" spans="1:10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  <c r="I11" s="2" t="s">
        <v>28</v>
      </c>
      <c r="J11">
        <v>11</v>
      </c>
    </row>
    <row r="12" spans="1:10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B933-5129-42DE-8F92-EF98E1DFFED7}">
  <dimension ref="A1:L27"/>
  <sheetViews>
    <sheetView workbookViewId="0">
      <selection activeCell="E22" sqref="E22"/>
    </sheetView>
  </sheetViews>
  <sheetFormatPr defaultRowHeight="14.4" x14ac:dyDescent="0.3"/>
  <cols>
    <col min="8" max="8" width="14.5546875" customWidth="1"/>
    <col min="9" max="9" width="12.77734375" bestFit="1" customWidth="1"/>
    <col min="10" max="10" width="15" bestFit="1" customWidth="1"/>
    <col min="11" max="11" width="15.33203125" bestFit="1" customWidth="1"/>
    <col min="12" max="12" width="12.109375" bestFit="1" customWidth="1"/>
    <col min="13" max="14" width="15.5546875" bestFit="1" customWidth="1"/>
    <col min="15" max="15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31</v>
      </c>
      <c r="K1" t="s">
        <v>32</v>
      </c>
      <c r="L1" t="s">
        <v>36</v>
      </c>
    </row>
    <row r="2" spans="1:12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21</v>
      </c>
      <c r="J2">
        <v>8750</v>
      </c>
      <c r="K2">
        <v>8000</v>
      </c>
      <c r="L2">
        <v>750</v>
      </c>
    </row>
    <row r="3" spans="1:12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3" t="s">
        <v>23</v>
      </c>
      <c r="J3">
        <v>3791</v>
      </c>
      <c r="K3">
        <v>3500</v>
      </c>
      <c r="L3">
        <v>291</v>
      </c>
    </row>
    <row r="4" spans="1:12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4" t="s">
        <v>24</v>
      </c>
      <c r="J4">
        <v>3791</v>
      </c>
      <c r="K4">
        <v>3500</v>
      </c>
      <c r="L4">
        <v>291</v>
      </c>
    </row>
    <row r="5" spans="1:12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3" t="s">
        <v>22</v>
      </c>
      <c r="J5">
        <v>4959</v>
      </c>
      <c r="K5">
        <v>4500</v>
      </c>
      <c r="L5">
        <v>459</v>
      </c>
    </row>
    <row r="6" spans="1:12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4" t="s">
        <v>15</v>
      </c>
      <c r="J6">
        <v>4959</v>
      </c>
      <c r="K6">
        <v>4500</v>
      </c>
      <c r="L6">
        <v>459</v>
      </c>
    </row>
    <row r="7" spans="1:12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25</v>
      </c>
      <c r="J7">
        <v>8601</v>
      </c>
      <c r="K7">
        <v>7500</v>
      </c>
      <c r="L7">
        <v>1101</v>
      </c>
    </row>
    <row r="8" spans="1:12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3" t="s">
        <v>26</v>
      </c>
      <c r="J8">
        <v>8601</v>
      </c>
      <c r="K8">
        <v>7500</v>
      </c>
      <c r="L8">
        <v>1101</v>
      </c>
    </row>
    <row r="9" spans="1:12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  <c r="I9" s="4" t="s">
        <v>24</v>
      </c>
      <c r="J9">
        <v>8601</v>
      </c>
      <c r="K9">
        <v>7500</v>
      </c>
      <c r="L9">
        <v>1101</v>
      </c>
    </row>
    <row r="10" spans="1:12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  <c r="I10" s="2" t="s">
        <v>19</v>
      </c>
      <c r="J10">
        <v>3950</v>
      </c>
      <c r="K10">
        <v>3000</v>
      </c>
      <c r="L10">
        <v>950</v>
      </c>
    </row>
    <row r="11" spans="1:12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  <c r="I11" s="3" t="s">
        <v>20</v>
      </c>
      <c r="J11">
        <v>3950</v>
      </c>
      <c r="K11">
        <v>3000</v>
      </c>
      <c r="L11">
        <v>950</v>
      </c>
    </row>
    <row r="12" spans="1:12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  <c r="I12" s="4" t="s">
        <v>12</v>
      </c>
      <c r="J12">
        <v>3950</v>
      </c>
      <c r="K12">
        <v>3000</v>
      </c>
      <c r="L12">
        <v>950</v>
      </c>
    </row>
    <row r="13" spans="1:12" x14ac:dyDescent="0.3">
      <c r="I13" s="2" t="s">
        <v>6</v>
      </c>
      <c r="J13">
        <v>9223</v>
      </c>
      <c r="K13">
        <v>6900</v>
      </c>
      <c r="L13">
        <v>2323</v>
      </c>
    </row>
    <row r="14" spans="1:12" x14ac:dyDescent="0.3">
      <c r="I14" s="3" t="s">
        <v>7</v>
      </c>
      <c r="J14">
        <v>6500</v>
      </c>
      <c r="K14">
        <v>5000</v>
      </c>
      <c r="L14">
        <v>1500</v>
      </c>
    </row>
    <row r="15" spans="1:12" x14ac:dyDescent="0.3">
      <c r="I15" s="4" t="s">
        <v>9</v>
      </c>
      <c r="J15">
        <v>2500</v>
      </c>
      <c r="K15">
        <v>2000</v>
      </c>
      <c r="L15">
        <v>500</v>
      </c>
    </row>
    <row r="16" spans="1:12" x14ac:dyDescent="0.3">
      <c r="I16" s="4" t="s">
        <v>8</v>
      </c>
      <c r="J16">
        <v>4000</v>
      </c>
      <c r="K16">
        <v>3000</v>
      </c>
      <c r="L16">
        <v>1000</v>
      </c>
    </row>
    <row r="17" spans="9:12" x14ac:dyDescent="0.3">
      <c r="I17" s="3" t="s">
        <v>17</v>
      </c>
      <c r="J17">
        <v>2723</v>
      </c>
      <c r="K17">
        <v>1900</v>
      </c>
      <c r="L17">
        <v>823</v>
      </c>
    </row>
    <row r="18" spans="9:12" x14ac:dyDescent="0.3">
      <c r="I18" s="4" t="s">
        <v>18</v>
      </c>
      <c r="J18">
        <v>2723</v>
      </c>
      <c r="K18">
        <v>1900</v>
      </c>
      <c r="L18">
        <v>823</v>
      </c>
    </row>
    <row r="19" spans="9:12" x14ac:dyDescent="0.3">
      <c r="I19" s="2" t="s">
        <v>13</v>
      </c>
      <c r="J19">
        <v>3826</v>
      </c>
      <c r="K19">
        <v>3000</v>
      </c>
      <c r="L19">
        <v>826</v>
      </c>
    </row>
    <row r="20" spans="9:12" x14ac:dyDescent="0.3">
      <c r="I20" s="3" t="s">
        <v>14</v>
      </c>
      <c r="J20">
        <v>3826</v>
      </c>
      <c r="K20">
        <v>3000</v>
      </c>
      <c r="L20">
        <v>826</v>
      </c>
    </row>
    <row r="21" spans="9:12" x14ac:dyDescent="0.3">
      <c r="I21" s="4" t="s">
        <v>15</v>
      </c>
      <c r="J21">
        <v>3826</v>
      </c>
      <c r="K21">
        <v>3000</v>
      </c>
      <c r="L21">
        <v>826</v>
      </c>
    </row>
    <row r="22" spans="9:12" x14ac:dyDescent="0.3">
      <c r="I22" s="2" t="s">
        <v>10</v>
      </c>
      <c r="J22">
        <v>47224</v>
      </c>
      <c r="K22">
        <v>46100</v>
      </c>
      <c r="L22">
        <v>1124</v>
      </c>
    </row>
    <row r="23" spans="9:12" x14ac:dyDescent="0.3">
      <c r="I23" s="3" t="s">
        <v>11</v>
      </c>
      <c r="J23">
        <v>45000</v>
      </c>
      <c r="K23">
        <v>44000</v>
      </c>
      <c r="L23">
        <v>1000</v>
      </c>
    </row>
    <row r="24" spans="9:12" x14ac:dyDescent="0.3">
      <c r="I24" s="4" t="s">
        <v>12</v>
      </c>
      <c r="J24">
        <v>45000</v>
      </c>
      <c r="K24">
        <v>44000</v>
      </c>
      <c r="L24">
        <v>1000</v>
      </c>
    </row>
    <row r="25" spans="9:12" x14ac:dyDescent="0.3">
      <c r="I25" s="3" t="s">
        <v>16</v>
      </c>
      <c r="J25">
        <v>2224</v>
      </c>
      <c r="K25">
        <v>2100</v>
      </c>
      <c r="L25">
        <v>124</v>
      </c>
    </row>
    <row r="26" spans="9:12" x14ac:dyDescent="0.3">
      <c r="I26" s="4" t="s">
        <v>12</v>
      </c>
      <c r="J26">
        <v>2224</v>
      </c>
      <c r="K26">
        <v>2100</v>
      </c>
      <c r="L26">
        <v>124</v>
      </c>
    </row>
    <row r="27" spans="9:12" x14ac:dyDescent="0.3">
      <c r="I27" s="2" t="s">
        <v>28</v>
      </c>
      <c r="J27">
        <v>81574</v>
      </c>
      <c r="K27">
        <v>74500</v>
      </c>
      <c r="L27">
        <v>7074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56F1-29D1-40B4-B1AA-5A2BBAB98464}">
  <dimension ref="A1:K12"/>
  <sheetViews>
    <sheetView workbookViewId="0">
      <selection sqref="A1:F12"/>
    </sheetView>
  </sheetViews>
  <sheetFormatPr defaultRowHeight="14.4" x14ac:dyDescent="0.3"/>
  <cols>
    <col min="9" max="9" width="12.5546875" bestFit="1" customWidth="1"/>
    <col min="10" max="10" width="18.21875" bestFit="1" customWidth="1"/>
    <col min="11" max="11" width="1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33</v>
      </c>
      <c r="K1" t="s">
        <v>34</v>
      </c>
    </row>
    <row r="2" spans="1:11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21</v>
      </c>
      <c r="J2" s="5">
        <v>4375</v>
      </c>
      <c r="K2" s="5">
        <v>4000</v>
      </c>
    </row>
    <row r="3" spans="1:11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25</v>
      </c>
      <c r="J3" s="5">
        <v>4300.5</v>
      </c>
      <c r="K3" s="5">
        <v>3750</v>
      </c>
    </row>
    <row r="4" spans="1:11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19</v>
      </c>
      <c r="J4" s="5">
        <v>3950</v>
      </c>
      <c r="K4" s="5">
        <v>3000</v>
      </c>
    </row>
    <row r="5" spans="1:11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6</v>
      </c>
      <c r="J5" s="5">
        <v>3074.3333333333335</v>
      </c>
      <c r="K5" s="5">
        <v>2300</v>
      </c>
    </row>
    <row r="6" spans="1:11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13</v>
      </c>
      <c r="J6" s="5">
        <v>3826</v>
      </c>
      <c r="K6" s="5">
        <v>3000</v>
      </c>
    </row>
    <row r="7" spans="1:11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10</v>
      </c>
      <c r="J7" s="5">
        <v>23612</v>
      </c>
      <c r="K7" s="5">
        <v>23050</v>
      </c>
    </row>
    <row r="8" spans="1:11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28</v>
      </c>
      <c r="J8" s="7">
        <v>7415.818181818182</v>
      </c>
      <c r="K8" s="7">
        <v>6772.727272727273</v>
      </c>
    </row>
    <row r="9" spans="1:11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</row>
    <row r="10" spans="1:11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</row>
    <row r="11" spans="1:11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</row>
    <row r="12" spans="1:11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4FF4-2922-4658-B95B-BBC9C620DC6A}">
  <dimension ref="A1:J12"/>
  <sheetViews>
    <sheetView tabSelected="1" workbookViewId="0">
      <selection activeCell="N17" sqref="N17"/>
    </sheetView>
  </sheetViews>
  <sheetFormatPr defaultRowHeight="14.4" x14ac:dyDescent="0.3"/>
  <cols>
    <col min="9" max="9" width="12.55468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35</v>
      </c>
    </row>
    <row r="2" spans="1:10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12</v>
      </c>
      <c r="J2" s="6">
        <v>0.27272727272727271</v>
      </c>
    </row>
    <row r="3" spans="1:10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9</v>
      </c>
      <c r="J3" s="6">
        <v>9.0909090909090912E-2</v>
      </c>
    </row>
    <row r="4" spans="1:10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15</v>
      </c>
      <c r="J4" s="6">
        <v>0.18181818181818182</v>
      </c>
    </row>
    <row r="5" spans="1:10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8</v>
      </c>
      <c r="J5" s="6">
        <v>9.0909090909090912E-2</v>
      </c>
    </row>
    <row r="6" spans="1:10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24</v>
      </c>
      <c r="J6" s="6">
        <v>0.27272727272727271</v>
      </c>
    </row>
    <row r="7" spans="1:10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18</v>
      </c>
      <c r="J7" s="6">
        <v>9.0909090909090912E-2</v>
      </c>
    </row>
    <row r="8" spans="1:10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28</v>
      </c>
      <c r="J8" s="6">
        <v>1</v>
      </c>
    </row>
    <row r="9" spans="1:10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</row>
    <row r="10" spans="1:10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</row>
    <row r="11" spans="1:10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</row>
    <row r="12" spans="1:10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 Karde</dc:creator>
  <cp:lastModifiedBy>Prachit Karde</cp:lastModifiedBy>
  <dcterms:created xsi:type="dcterms:W3CDTF">2026-03-08T07:48:24Z</dcterms:created>
  <dcterms:modified xsi:type="dcterms:W3CDTF">2026-03-08T08:20:19Z</dcterms:modified>
</cp:coreProperties>
</file>